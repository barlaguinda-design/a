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de Carta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'Listado de Cartas'!$A$1:$I$55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B4C7E"/>
      <sz val="16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4A6FA5"/>
        <bgColor rgb="004A6FA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por Civilización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'Resumen'!$B$5:$B$11</f>
            </numRef>
          </cat>
          <val>
            <numRef>
              <f>'Resumen'!$C$5:$C$11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Civilización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 de Cartas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2" customWidth="1" min="4" max="4"/>
    <col width="10" customWidth="1" min="5" max="5"/>
    <col width="10" customWidth="1" min="6" max="6"/>
    <col width="12" customWidth="1" min="7" max="7"/>
    <col width="16" customWidth="1" min="8" max="8"/>
    <col width="50" customWidth="1" min="9" max="9"/>
  </cols>
  <sheetData>
    <row r="1" ht="28" customHeight="1">
      <c r="A1" s="1" t="inlineStr">
        <is>
          <t>#</t>
        </is>
      </c>
      <c r="B1" s="1" t="inlineStr">
        <is>
          <t>Carta / Nombre</t>
        </is>
      </c>
      <c r="C1" s="1" t="inlineStr">
        <is>
          <t>Civilización</t>
        </is>
      </c>
      <c r="D1" s="1" t="inlineStr">
        <is>
          <t>Tipo / Categoría</t>
        </is>
      </c>
      <c r="E1" s="1" t="inlineStr">
        <is>
          <t>Ataque</t>
        </is>
      </c>
      <c r="F1" s="1" t="inlineStr">
        <is>
          <t>Esquiva</t>
        </is>
      </c>
      <c r="G1" s="1" t="inlineStr">
        <is>
          <t>Magia</t>
        </is>
      </c>
      <c r="H1" s="1" t="inlineStr">
        <is>
          <t>Elemento</t>
        </is>
      </c>
      <c r="I1" s="1" t="inlineStr">
        <is>
          <t>Efecto / Mecánica</t>
        </is>
      </c>
    </row>
    <row r="2" ht="22" customHeight="1">
      <c r="A2" s="2" t="n">
        <v>1</v>
      </c>
      <c r="B2" s="3" t="inlineStr">
        <is>
          <t>Tornado</t>
        </is>
      </c>
      <c r="C2" s="4" t="inlineStr">
        <is>
          <t>Común / Neutral</t>
        </is>
      </c>
      <c r="D2" s="4" t="inlineStr">
        <is>
          <t>Mágica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PENDIENTE</t>
        </is>
      </c>
      <c r="H2" s="4" t="inlineStr">
        <is>
          <t>Viento</t>
        </is>
      </c>
      <c r="I2" s="3" t="inlineStr">
        <is>
          <t>Levanta todas las cartas del tablero de esa parte del campo.</t>
        </is>
      </c>
    </row>
    <row r="3" ht="22" customHeight="1">
      <c r="A3" s="5" t="n">
        <v>2</v>
      </c>
      <c r="B3" s="6" t="inlineStr">
        <is>
          <t>El Ojo de Odín</t>
        </is>
      </c>
      <c r="C3" s="7" t="inlineStr">
        <is>
          <t>Vikinga</t>
        </is>
      </c>
      <c r="D3" s="7" t="inlineStr">
        <is>
          <t>Mágica</t>
        </is>
      </c>
      <c r="E3" s="5" t="inlineStr">
        <is>
          <t>N/A</t>
        </is>
      </c>
      <c r="F3" s="5" t="inlineStr">
        <is>
          <t>N/A</t>
        </is>
      </c>
      <c r="G3" s="5" t="inlineStr">
        <is>
          <t>V (5)</t>
        </is>
      </c>
      <c r="H3" s="7" t="inlineStr">
        <is>
          <t>Ninguno / Neutral</t>
        </is>
      </c>
      <c r="I3" s="6" t="inlineStr">
        <is>
          <t>Revela la mano del rival durante 10 segundos. El jugador puede ver todas las cartas que el oponente tiene en mano.</t>
        </is>
      </c>
    </row>
    <row r="4" ht="22" customHeight="1">
      <c r="A4" s="2" t="n">
        <v>3</v>
      </c>
      <c r="B4" s="3" t="inlineStr">
        <is>
          <t>El Sabio</t>
        </is>
      </c>
      <c r="C4" s="4" t="inlineStr">
        <is>
          <t>Griega</t>
        </is>
      </c>
      <c r="D4" s="4" t="inlineStr">
        <is>
          <t>Personaje</t>
        </is>
      </c>
      <c r="E4" s="2" t="inlineStr">
        <is>
          <t>3</t>
        </is>
      </c>
      <c r="F4" s="2" t="inlineStr">
        <is>
          <t>PENDIENTE base</t>
        </is>
      </c>
      <c r="G4" s="2" t="inlineStr">
        <is>
          <t>III</t>
        </is>
      </c>
      <c r="H4" s="4" t="inlineStr">
        <is>
          <t>PENDIENTE (sugerido: Agua o Viento)</t>
        </is>
      </c>
      <c r="I4" s="3" t="inlineStr">
        <is>
          <t>Sabiduría: eleva su nivel de evasión a 12. Solo pueden acertarle un ataque si en el dado de 12 caras (d12) sale el 12.</t>
        </is>
      </c>
    </row>
    <row r="5" ht="22" customHeight="1">
      <c r="A5" s="5" t="n">
        <v>4</v>
      </c>
      <c r="B5" s="6" t="inlineStr">
        <is>
          <t>Hermes, el Mensajero (propuesta)</t>
        </is>
      </c>
      <c r="C5" s="7" t="inlineStr">
        <is>
          <t>Griega</t>
        </is>
      </c>
      <c r="D5" s="7" t="inlineStr">
        <is>
          <t>Personaje — Legendaria</t>
        </is>
      </c>
      <c r="E5" s="5" t="inlineStr">
        <is>
          <t>PENDIENTE</t>
        </is>
      </c>
      <c r="F5" s="5" t="inlineStr">
        <is>
          <t>PENDIENTE</t>
        </is>
      </c>
      <c r="G5" s="5" t="inlineStr">
        <is>
          <t>PENDIENTE</t>
        </is>
      </c>
      <c r="H5" s="7" t="inlineStr">
        <is>
          <t>PENDIENTE</t>
        </is>
      </c>
      <c r="I5" s="6" t="inlineStr">
        <is>
          <t>Puede moverse al otro lado del campo perfectamente. Se mueve a su casilla opuesta (el tablero es simétrico verticalmente).</t>
        </is>
      </c>
    </row>
    <row r="6" ht="22" customHeight="1">
      <c r="A6" s="2" t="n">
        <v>5</v>
      </c>
      <c r="B6" s="3" t="inlineStr">
        <is>
          <t>El Arquero</t>
        </is>
      </c>
      <c r="C6" s="4" t="inlineStr">
        <is>
          <t>Griega</t>
        </is>
      </c>
      <c r="D6" s="4" t="inlineStr">
        <is>
          <t>Personaje</t>
        </is>
      </c>
      <c r="E6" s="2" t="inlineStr">
        <is>
          <t>2</t>
        </is>
      </c>
      <c r="F6" s="2" t="inlineStr">
        <is>
          <t>7</t>
        </is>
      </c>
      <c r="G6" s="2" t="inlineStr">
        <is>
          <t>II</t>
        </is>
      </c>
      <c r="H6" s="4" t="inlineStr">
        <is>
          <t>PENDIENTE</t>
        </is>
      </c>
      <c r="I6" s="3" t="inlineStr">
        <is>
          <t>Puede saltarse un cuadro y atacar a distancia. No puede atacar a un corazón.</t>
        </is>
      </c>
    </row>
    <row r="7" ht="22" customHeight="1">
      <c r="A7" s="5" t="n">
        <v>6</v>
      </c>
      <c r="B7" s="6" t="inlineStr">
        <is>
          <t>Legionario</t>
        </is>
      </c>
      <c r="C7" s="7" t="inlineStr">
        <is>
          <t>Griega</t>
        </is>
      </c>
      <c r="D7" s="7" t="inlineStr">
        <is>
          <t>Personaje</t>
        </is>
      </c>
      <c r="E7" s="5" t="inlineStr">
        <is>
          <t>4</t>
        </is>
      </c>
      <c r="F7" s="5" t="inlineStr">
        <is>
          <t>1</t>
        </is>
      </c>
      <c r="G7" s="5" t="inlineStr">
        <is>
          <t>0 (Sin magia)</t>
        </is>
      </c>
      <c r="H7" s="7" t="inlineStr">
        <is>
          <t>Tierra</t>
        </is>
      </c>
      <c r="I7" s="6" t="inlineStr">
        <is>
          <t>Sin efecto</t>
        </is>
      </c>
    </row>
    <row r="8" ht="22" customHeight="1">
      <c r="A8" s="2" t="n">
        <v>7</v>
      </c>
      <c r="B8" s="3" t="inlineStr">
        <is>
          <t>Dragón de Fuego</t>
        </is>
      </c>
      <c r="C8" s="4" t="inlineStr">
        <is>
          <t>Ninguna / Neutral</t>
        </is>
      </c>
      <c r="D8" s="4" t="inlineStr">
        <is>
          <t>Animal Mitológico</t>
        </is>
      </c>
      <c r="E8" s="2" t="inlineStr">
        <is>
          <t>7</t>
        </is>
      </c>
      <c r="F8" s="2" t="inlineStr">
        <is>
          <t>4</t>
        </is>
      </c>
      <c r="G8" s="2" t="inlineStr">
        <is>
          <t>V</t>
        </is>
      </c>
      <c r="H8" s="4" t="inlineStr">
        <is>
          <t>Fuego + Viento</t>
        </is>
      </c>
      <c r="I8" s="3" t="inlineStr">
        <is>
          <t>PENDIENTE (todos los Animales Mitológicos tienen efecto)</t>
        </is>
      </c>
    </row>
    <row r="9" ht="22" customHeight="1">
      <c r="A9" s="5" t="n">
        <v>8</v>
      </c>
      <c r="B9" s="6" t="inlineStr">
        <is>
          <t>Oso</t>
        </is>
      </c>
      <c r="C9" s="7" t="inlineStr">
        <is>
          <t>Ninguna / Neutral</t>
        </is>
      </c>
      <c r="D9" s="7" t="inlineStr">
        <is>
          <t>Animal Salvaje</t>
        </is>
      </c>
      <c r="E9" s="5" t="inlineStr">
        <is>
          <t>PENDIENTE</t>
        </is>
      </c>
      <c r="F9" s="5" t="inlineStr">
        <is>
          <t>PENDIENTE</t>
        </is>
      </c>
      <c r="G9" s="5" t="inlineStr">
        <is>
          <t>PENDIENTE</t>
        </is>
      </c>
      <c r="H9" s="7" t="inlineStr">
        <is>
          <t>PENDIENTE</t>
        </is>
      </c>
      <c r="I9" s="6" t="inlineStr">
        <is>
          <t>PENDIENTE</t>
        </is>
      </c>
    </row>
    <row r="10" ht="22" customHeight="1">
      <c r="A10" s="2" t="n">
        <v>9</v>
      </c>
      <c r="B10" s="3" t="inlineStr">
        <is>
          <t>Tigre de Siberia (dientes de sable)</t>
        </is>
      </c>
      <c r="C10" s="4" t="inlineStr">
        <is>
          <t>Ninguna / Neutral</t>
        </is>
      </c>
      <c r="D10" s="4" t="inlineStr">
        <is>
          <t>Animal Salvaje</t>
        </is>
      </c>
      <c r="E10" s="2" t="inlineStr">
        <is>
          <t>PENDIENTE</t>
        </is>
      </c>
      <c r="F10" s="2" t="inlineStr">
        <is>
          <t>PENDIENTE</t>
        </is>
      </c>
      <c r="G10" s="2" t="inlineStr">
        <is>
          <t>PENDIENTE</t>
        </is>
      </c>
      <c r="H10" s="4" t="inlineStr">
        <is>
          <t>PENDIENTE</t>
        </is>
      </c>
      <c r="I10" s="3" t="inlineStr">
        <is>
          <t>Contribuyó a la extinción del Neandertal (añadir en la descripción).</t>
        </is>
      </c>
    </row>
    <row r="11" ht="22" customHeight="1">
      <c r="A11" s="5" t="n">
        <v>10</v>
      </c>
      <c r="B11" s="6" t="inlineStr">
        <is>
          <t>Elefante Sagrado (Ganesha)</t>
        </is>
      </c>
      <c r="C11" s="7" t="inlineStr">
        <is>
          <t>Hinduista</t>
        </is>
      </c>
      <c r="D11" s="7" t="inlineStr">
        <is>
          <t>Animal Mitológico</t>
        </is>
      </c>
      <c r="E11" s="5" t="inlineStr">
        <is>
          <t>8</t>
        </is>
      </c>
      <c r="F11" s="5" t="inlineStr">
        <is>
          <t>2</t>
        </is>
      </c>
      <c r="G11" s="5" t="inlineStr">
        <is>
          <t>PENDIENTE (sugerido: V)</t>
        </is>
      </c>
      <c r="H11" s="7" t="inlineStr">
        <is>
          <t>PENDIENTE (sugerido: Tierra + Viento)</t>
        </is>
      </c>
      <c r="I11" s="6" t="inlineStr">
        <is>
          <t>Embestida: se tira el dado d12. Si sale 10, 11 o 12, el ataque se duplica (16 de fuerza). Si sale del 1 al 9, el ataque es normal (8).</t>
        </is>
      </c>
    </row>
    <row r="12" ht="22" customHeight="1">
      <c r="A12" s="2" t="n">
        <v>11</v>
      </c>
      <c r="B12" s="3" t="inlineStr">
        <is>
          <t>Esclavo</t>
        </is>
      </c>
      <c r="C12" s="4" t="inlineStr">
        <is>
          <t>Ninguna / Neutral</t>
        </is>
      </c>
      <c r="D12" s="4" t="inlineStr">
        <is>
          <t>Humano común</t>
        </is>
      </c>
      <c r="E12" s="2" t="inlineStr">
        <is>
          <t>1</t>
        </is>
      </c>
      <c r="F12" s="2" t="inlineStr">
        <is>
          <t>1</t>
        </is>
      </c>
      <c r="G12" s="2" t="inlineStr">
        <is>
          <t>0 (Sin magia)</t>
        </is>
      </c>
      <c r="H12" s="4" t="inlineStr">
        <is>
          <t>Tierra</t>
        </is>
      </c>
      <c r="I12" s="3" t="inlineStr">
        <is>
          <t>Sin efecto. Un alma derrotada por la vida.</t>
        </is>
      </c>
    </row>
    <row r="13" ht="22" customHeight="1">
      <c r="A13" s="5" t="n">
        <v>12</v>
      </c>
      <c r="B13" s="6" t="inlineStr">
        <is>
          <t>Arkantos</t>
        </is>
      </c>
      <c r="C13" s="7" t="inlineStr">
        <is>
          <t>Griega</t>
        </is>
      </c>
      <c r="D13" s="7" t="inlineStr">
        <is>
          <t>Élite / Divinidad</t>
        </is>
      </c>
      <c r="E13" s="5" t="inlineStr">
        <is>
          <t>10</t>
        </is>
      </c>
      <c r="F13" s="5" t="inlineStr">
        <is>
          <t>6</t>
        </is>
      </c>
      <c r="G13" s="5" t="inlineStr">
        <is>
          <t>PENDIENTE</t>
        </is>
      </c>
      <c r="H13" s="7" t="inlineStr">
        <is>
          <t>PENDIENTE</t>
        </is>
      </c>
      <c r="I13" s="6" t="inlineStr">
        <is>
          <t>PENDIENTE</t>
        </is>
      </c>
    </row>
    <row r="14" ht="22" customHeight="1">
      <c r="A14" s="2" t="n">
        <v>13</v>
      </c>
      <c r="B14" s="3" t="inlineStr">
        <is>
          <t>Poseidón (actualizado)</t>
        </is>
      </c>
      <c r="C14" s="4" t="inlineStr">
        <is>
          <t>Griega</t>
        </is>
      </c>
      <c r="D14" s="4" t="inlineStr">
        <is>
          <t>Élite — Semidios</t>
        </is>
      </c>
      <c r="E14" s="2" t="inlineStr">
        <is>
          <t>6</t>
        </is>
      </c>
      <c r="F14" s="2" t="inlineStr">
        <is>
          <t>7</t>
        </is>
      </c>
      <c r="G14" s="2" t="inlineStr">
        <is>
          <t>PENDIENTE</t>
        </is>
      </c>
      <c r="H14" s="4" t="inlineStr">
        <is>
          <t>Agua</t>
        </is>
      </c>
      <c r="I14" s="3" t="inlineStr">
        <is>
          <t>+3 ataque a todos los de Agua al atacar. Ataque 6, Esquiva 7.</t>
        </is>
      </c>
    </row>
    <row r="15" ht="22" customHeight="1">
      <c r="A15" s="5" t="n">
        <v>14</v>
      </c>
      <c r="B15" s="6" t="inlineStr">
        <is>
          <t>Leonidas</t>
        </is>
      </c>
      <c r="C15" s="7" t="inlineStr">
        <is>
          <t>Griega</t>
        </is>
      </c>
      <c r="D15" s="7" t="inlineStr">
        <is>
          <t>Élite / Divinidad</t>
        </is>
      </c>
      <c r="E15" s="5" t="inlineStr">
        <is>
          <t>8</t>
        </is>
      </c>
      <c r="F15" s="5" t="inlineStr">
        <is>
          <t>7</t>
        </is>
      </c>
      <c r="G15" s="5" t="inlineStr">
        <is>
          <t>PENDIENTE</t>
        </is>
      </c>
      <c r="H15" s="7" t="inlineStr">
        <is>
          <t>PENDIENTE</t>
        </is>
      </c>
      <c r="I15" s="6" t="inlineStr">
        <is>
          <t>PENDIENTE</t>
        </is>
      </c>
    </row>
    <row r="16" ht="22" customHeight="1">
      <c r="A16" s="2" t="n">
        <v>15</v>
      </c>
      <c r="B16" s="3" t="inlineStr">
        <is>
          <t>Akuvis</t>
        </is>
      </c>
      <c r="C16" s="4" t="inlineStr">
        <is>
          <t>Egipcia</t>
        </is>
      </c>
      <c r="D16" s="4" t="inlineStr">
        <is>
          <t>Élite / Divinidad</t>
        </is>
      </c>
      <c r="E16" s="2" t="inlineStr">
        <is>
          <t>PENDIENTE</t>
        </is>
      </c>
      <c r="F16" s="2" t="inlineStr">
        <is>
          <t>PENDIENTE</t>
        </is>
      </c>
      <c r="G16" s="2" t="inlineStr">
        <is>
          <t>PENDIENTE</t>
        </is>
      </c>
      <c r="H16" s="4" t="inlineStr">
        <is>
          <t>PENDIENTE</t>
        </is>
      </c>
      <c r="I16" s="3" t="inlineStr">
        <is>
          <t>PENDIENTE</t>
        </is>
      </c>
    </row>
    <row r="17" ht="22" customHeight="1">
      <c r="A17" s="5" t="n">
        <v>16</v>
      </c>
      <c r="B17" s="6" t="inlineStr">
        <is>
          <t>Osiris</t>
        </is>
      </c>
      <c r="C17" s="7" t="inlineStr">
        <is>
          <t>Egipcia</t>
        </is>
      </c>
      <c r="D17" s="7" t="inlineStr">
        <is>
          <t>Élite / Divinidad</t>
        </is>
      </c>
      <c r="E17" s="5" t="inlineStr">
        <is>
          <t>PENDIENTE</t>
        </is>
      </c>
      <c r="F17" s="5" t="inlineStr">
        <is>
          <t>PENDIENTE</t>
        </is>
      </c>
      <c r="G17" s="5" t="inlineStr">
        <is>
          <t>PENDIENTE</t>
        </is>
      </c>
      <c r="H17" s="7" t="inlineStr">
        <is>
          <t>PENDIENTE</t>
        </is>
      </c>
      <c r="I17" s="6" t="inlineStr">
        <is>
          <t>PENDIENTE</t>
        </is>
      </c>
    </row>
    <row r="18" ht="22" customHeight="1">
      <c r="A18" s="2" t="n">
        <v>17</v>
      </c>
      <c r="B18" s="3" t="inlineStr">
        <is>
          <t>Tort (Thoth)</t>
        </is>
      </c>
      <c r="C18" s="4" t="inlineStr">
        <is>
          <t>Egipcia</t>
        </is>
      </c>
      <c r="D18" s="4" t="inlineStr">
        <is>
          <t>Élite / Divinidad</t>
        </is>
      </c>
      <c r="E18" s="2" t="inlineStr">
        <is>
          <t>PENDIENTE</t>
        </is>
      </c>
      <c r="F18" s="2" t="inlineStr">
        <is>
          <t>PENDIENTE</t>
        </is>
      </c>
      <c r="G18" s="2" t="inlineStr">
        <is>
          <t>PENDIENTE</t>
        </is>
      </c>
      <c r="H18" s="4" t="inlineStr">
        <is>
          <t>PENDIENTE</t>
        </is>
      </c>
      <c r="I18" s="3" t="inlineStr">
        <is>
          <t>PENDIENTE</t>
        </is>
      </c>
    </row>
    <row r="19" ht="22" customHeight="1">
      <c r="A19" s="5" t="n">
        <v>18</v>
      </c>
      <c r="B19" s="6" t="inlineStr">
        <is>
          <t>Zeus</t>
        </is>
      </c>
      <c r="C19" s="7" t="inlineStr">
        <is>
          <t>Griega</t>
        </is>
      </c>
      <c r="D19" s="7" t="inlineStr">
        <is>
          <t>Dios</t>
        </is>
      </c>
      <c r="E19" s="5" t="inlineStr">
        <is>
          <t>PENDIENTE</t>
        </is>
      </c>
      <c r="F19" s="5" t="inlineStr">
        <is>
          <t>PENDIENTE</t>
        </is>
      </c>
      <c r="G19" s="5" t="inlineStr">
        <is>
          <t>PENDIENTE</t>
        </is>
      </c>
      <c r="H19" s="7" t="inlineStr">
        <is>
          <t>PENDIENTE</t>
        </is>
      </c>
      <c r="I19" s="6" t="inlineStr">
        <is>
          <t>PENDIENTE</t>
        </is>
      </c>
    </row>
    <row r="20" ht="22" customHeight="1">
      <c r="A20" s="2" t="n">
        <v>19</v>
      </c>
      <c r="B20" s="3" t="inlineStr">
        <is>
          <t>Ra</t>
        </is>
      </c>
      <c r="C20" s="4" t="inlineStr">
        <is>
          <t>Egipcia</t>
        </is>
      </c>
      <c r="D20" s="4" t="inlineStr">
        <is>
          <t>Dios</t>
        </is>
      </c>
      <c r="E20" s="2" t="inlineStr">
        <is>
          <t>PENDIENTE</t>
        </is>
      </c>
      <c r="F20" s="2" t="inlineStr">
        <is>
          <t>PENDIENTE</t>
        </is>
      </c>
      <c r="G20" s="2" t="inlineStr">
        <is>
          <t>PENDIENTE</t>
        </is>
      </c>
      <c r="H20" s="4" t="inlineStr">
        <is>
          <t>PENDIENTE</t>
        </is>
      </c>
      <c r="I20" s="3" t="inlineStr">
        <is>
          <t>PENDIENTE</t>
        </is>
      </c>
    </row>
    <row r="21" ht="22" customHeight="1">
      <c r="A21" s="5" t="n">
        <v>20</v>
      </c>
      <c r="B21" s="6" t="inlineStr">
        <is>
          <t>Odín</t>
        </is>
      </c>
      <c r="C21" s="7" t="inlineStr">
        <is>
          <t>Vikinga</t>
        </is>
      </c>
      <c r="D21" s="7" t="inlineStr">
        <is>
          <t>Dios</t>
        </is>
      </c>
      <c r="E21" s="5" t="inlineStr">
        <is>
          <t>PENDIENTE</t>
        </is>
      </c>
      <c r="F21" s="5" t="inlineStr">
        <is>
          <t>PENDIENTE</t>
        </is>
      </c>
      <c r="G21" s="5" t="inlineStr">
        <is>
          <t>PENDIENTE</t>
        </is>
      </c>
      <c r="H21" s="7" t="inlineStr">
        <is>
          <t>PENDIENTE</t>
        </is>
      </c>
      <c r="I21" s="6" t="inlineStr">
        <is>
          <t>PENDIENTE</t>
        </is>
      </c>
    </row>
    <row r="22" ht="22" customHeight="1">
      <c r="A22" s="2" t="n">
        <v>21</v>
      </c>
      <c r="B22" s="3" t="inlineStr">
        <is>
          <t>Shiva</t>
        </is>
      </c>
      <c r="C22" s="4" t="inlineStr">
        <is>
          <t>Hinduista</t>
        </is>
      </c>
      <c r="D22" s="4" t="inlineStr">
        <is>
          <t>Dios</t>
        </is>
      </c>
      <c r="E22" s="2" t="inlineStr">
        <is>
          <t>PENDIENTE</t>
        </is>
      </c>
      <c r="F22" s="2" t="inlineStr">
        <is>
          <t>PENDIENTE</t>
        </is>
      </c>
      <c r="G22" s="2" t="inlineStr">
        <is>
          <t>PENDIENTE</t>
        </is>
      </c>
      <c r="H22" s="4" t="inlineStr">
        <is>
          <t>PENDIENTE</t>
        </is>
      </c>
      <c r="I22" s="3" t="inlineStr">
        <is>
          <t>PENDIENTE</t>
        </is>
      </c>
    </row>
    <row r="23" ht="22" customHeight="1">
      <c r="A23" s="5" t="n">
        <v>22</v>
      </c>
      <c r="B23" s="6" t="inlineStr">
        <is>
          <t>Samurai</t>
        </is>
      </c>
      <c r="C23" s="7" t="inlineStr">
        <is>
          <t>Ninguna / Neutral</t>
        </is>
      </c>
      <c r="D23" s="7" t="inlineStr">
        <is>
          <t>Humano común</t>
        </is>
      </c>
      <c r="E23" s="5" t="inlineStr">
        <is>
          <t>3</t>
        </is>
      </c>
      <c r="F23" s="5" t="inlineStr">
        <is>
          <t>4</t>
        </is>
      </c>
      <c r="G23" s="5" t="inlineStr">
        <is>
          <t>0 (Sin magia)</t>
        </is>
      </c>
      <c r="H23" s="7" t="inlineStr">
        <is>
          <t>PENDIENTE</t>
        </is>
      </c>
      <c r="I23" s="6" t="inlineStr">
        <is>
          <t>PENDIENTE</t>
        </is>
      </c>
    </row>
    <row r="24" ht="22" customHeight="1">
      <c r="A24" s="2" t="n">
        <v>23</v>
      </c>
      <c r="B24" s="3" t="inlineStr">
        <is>
          <t>Ninja</t>
        </is>
      </c>
      <c r="C24" s="4" t="inlineStr">
        <is>
          <t>Ninguna / Neutral</t>
        </is>
      </c>
      <c r="D24" s="4" t="inlineStr">
        <is>
          <t>Humano común</t>
        </is>
      </c>
      <c r="E24" s="2" t="inlineStr">
        <is>
          <t>2</t>
        </is>
      </c>
      <c r="F24" s="2" t="inlineStr">
        <is>
          <t>7</t>
        </is>
      </c>
      <c r="G24" s="2" t="inlineStr">
        <is>
          <t>0 (Sin magia)</t>
        </is>
      </c>
      <c r="H24" s="4" t="inlineStr">
        <is>
          <t>PENDIENTE</t>
        </is>
      </c>
      <c r="I24" s="3" t="inlineStr">
        <is>
          <t>PENDIENTE</t>
        </is>
      </c>
    </row>
    <row r="25" ht="22" customHeight="1">
      <c r="A25" s="5" t="n">
        <v>24</v>
      </c>
      <c r="B25" s="6" t="inlineStr">
        <is>
          <t>Ymir</t>
        </is>
      </c>
      <c r="C25" s="7" t="inlineStr">
        <is>
          <t>Vikinga</t>
        </is>
      </c>
      <c r="D25" s="7" t="inlineStr">
        <is>
          <t>Animal Mitológico</t>
        </is>
      </c>
      <c r="E25" s="5" t="inlineStr">
        <is>
          <t>6</t>
        </is>
      </c>
      <c r="F25" s="5" t="inlineStr">
        <is>
          <t>2</t>
        </is>
      </c>
      <c r="G25" s="5" t="inlineStr">
        <is>
          <t>PENDIENTE (sugerido: V)</t>
        </is>
      </c>
      <c r="H25" s="7" t="inlineStr">
        <is>
          <t>PENDIENTE</t>
        </is>
      </c>
      <c r="I25" s="6" t="inlineStr">
        <is>
          <t>PENDIENTE</t>
        </is>
      </c>
    </row>
    <row r="26" ht="22" customHeight="1">
      <c r="A26" s="2" t="n">
        <v>25</v>
      </c>
      <c r="B26" s="3" t="inlineStr">
        <is>
          <t>Pegasus</t>
        </is>
      </c>
      <c r="C26" s="4" t="inlineStr">
        <is>
          <t>Griega</t>
        </is>
      </c>
      <c r="D26" s="4" t="inlineStr">
        <is>
          <t>Animal Mitológico</t>
        </is>
      </c>
      <c r="E26" s="2" t="inlineStr">
        <is>
          <t>PENDIENTE</t>
        </is>
      </c>
      <c r="F26" s="2" t="inlineStr">
        <is>
          <t>PENDIENTE</t>
        </is>
      </c>
      <c r="G26" s="2" t="inlineStr">
        <is>
          <t>PENDIENTE (sugerido: V)</t>
        </is>
      </c>
      <c r="H26" s="4" t="inlineStr">
        <is>
          <t>PENDIENTE</t>
        </is>
      </c>
      <c r="I26" s="3" t="inlineStr">
        <is>
          <t>PENDIENTE</t>
        </is>
      </c>
    </row>
    <row r="27" ht="22" customHeight="1">
      <c r="A27" s="5" t="n">
        <v>26</v>
      </c>
      <c r="B27" s="6" t="inlineStr">
        <is>
          <t>Kaliya</t>
        </is>
      </c>
      <c r="C27" s="7" t="inlineStr">
        <is>
          <t>Hinduista</t>
        </is>
      </c>
      <c r="D27" s="7" t="inlineStr">
        <is>
          <t>Animal Mitológico</t>
        </is>
      </c>
      <c r="E27" s="5" t="inlineStr">
        <is>
          <t>7</t>
        </is>
      </c>
      <c r="F27" s="5" t="inlineStr">
        <is>
          <t>7</t>
        </is>
      </c>
      <c r="G27" s="5" t="inlineStr">
        <is>
          <t>PENDIENTE (sugerido: V)</t>
        </is>
      </c>
      <c r="H27" s="7" t="inlineStr">
        <is>
          <t>PENDIENTE</t>
        </is>
      </c>
      <c r="I27" s="6" t="inlineStr">
        <is>
          <t>Rompe la regla al no tener efecto.</t>
        </is>
      </c>
    </row>
    <row r="28" ht="22" customHeight="1">
      <c r="A28" s="2" t="n">
        <v>27</v>
      </c>
      <c r="B28" s="3" t="inlineStr">
        <is>
          <t>Trampa 1 (PENDIENTE nombre)</t>
        </is>
      </c>
      <c r="C28" s="4" t="inlineStr">
        <is>
          <t>PENDIENTE</t>
        </is>
      </c>
      <c r="D28" s="4" t="inlineStr">
        <is>
          <t>Trampa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4" t="inlineStr">
        <is>
          <t>PENDIENTE</t>
        </is>
      </c>
      <c r="I28" s="3" t="inlineStr">
        <is>
          <t>PENDIENTE</t>
        </is>
      </c>
    </row>
    <row r="29" ht="22" customHeight="1">
      <c r="A29" s="5" t="n">
        <v>28</v>
      </c>
      <c r="B29" s="6" t="inlineStr">
        <is>
          <t>Trampa 2 (PENDIENTE nombre)</t>
        </is>
      </c>
      <c r="C29" s="7" t="inlineStr">
        <is>
          <t>PENDIENTE</t>
        </is>
      </c>
      <c r="D29" s="7" t="inlineStr">
        <is>
          <t>Trampa</t>
        </is>
      </c>
      <c r="E29" s="5" t="inlineStr">
        <is>
          <t>N/A</t>
        </is>
      </c>
      <c r="F29" s="5" t="inlineStr">
        <is>
          <t>N/A</t>
        </is>
      </c>
      <c r="G29" s="5" t="inlineStr">
        <is>
          <t>N/A</t>
        </is>
      </c>
      <c r="H29" s="7" t="inlineStr">
        <is>
          <t>PENDIENTE</t>
        </is>
      </c>
      <c r="I29" s="6" t="inlineStr">
        <is>
          <t>PENDIENTE</t>
        </is>
      </c>
    </row>
    <row r="30" ht="22" customHeight="1">
      <c r="A30" s="2" t="n">
        <v>29</v>
      </c>
      <c r="B30" s="3" t="inlineStr">
        <is>
          <t>Trampa 3 (PENDIENTE nombre)</t>
        </is>
      </c>
      <c r="C30" s="4" t="inlineStr">
        <is>
          <t>PENDIENTE</t>
        </is>
      </c>
      <c r="D30" s="4" t="inlineStr">
        <is>
          <t>Trampa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4" t="inlineStr">
        <is>
          <t>PENDIENTE</t>
        </is>
      </c>
      <c r="I30" s="3" t="inlineStr">
        <is>
          <t>PENDIENTE</t>
        </is>
      </c>
    </row>
    <row r="31" ht="22" customHeight="1">
      <c r="A31" s="5" t="n">
        <v>30</v>
      </c>
      <c r="B31" s="6" t="inlineStr">
        <is>
          <t>Portal 1 (PENDIENTE nombre)</t>
        </is>
      </c>
      <c r="C31" s="7" t="inlineStr">
        <is>
          <t>PENDIENTE</t>
        </is>
      </c>
      <c r="D31" s="7" t="inlineStr">
        <is>
          <t>Portal</t>
        </is>
      </c>
      <c r="E31" s="5" t="inlineStr">
        <is>
          <t>N/A</t>
        </is>
      </c>
      <c r="F31" s="5" t="inlineStr">
        <is>
          <t>N/A</t>
        </is>
      </c>
      <c r="G31" s="5" t="inlineStr">
        <is>
          <t>N/A</t>
        </is>
      </c>
      <c r="H31" s="7" t="inlineStr">
        <is>
          <t>PENDIENTE</t>
        </is>
      </c>
      <c r="I31" s="6" t="inlineStr">
        <is>
          <t>Permite teletransporte entre frentes e invocación adelantada.</t>
        </is>
      </c>
    </row>
    <row r="32" ht="22" customHeight="1">
      <c r="A32" s="2" t="n">
        <v>31</v>
      </c>
      <c r="B32" s="3" t="inlineStr">
        <is>
          <t>Portal 2 (PENDIENTE nombre)</t>
        </is>
      </c>
      <c r="C32" s="4" t="inlineStr">
        <is>
          <t>PENDIENTE</t>
        </is>
      </c>
      <c r="D32" s="4" t="inlineStr">
        <is>
          <t>Portal</t>
        </is>
      </c>
      <c r="E32" s="2" t="inlineStr">
        <is>
          <t>N/A</t>
        </is>
      </c>
      <c r="F32" s="2" t="inlineStr">
        <is>
          <t>N/A</t>
        </is>
      </c>
      <c r="G32" s="2" t="inlineStr">
        <is>
          <t>N/A</t>
        </is>
      </c>
      <c r="H32" s="4" t="inlineStr">
        <is>
          <t>PENDIENTE</t>
        </is>
      </c>
      <c r="I32" s="3" t="inlineStr">
        <is>
          <t>Permite teletransporte entre frentes e invocación adelantada.</t>
        </is>
      </c>
    </row>
    <row r="33" ht="22" customHeight="1">
      <c r="A33" s="5" t="n">
        <v>32</v>
      </c>
      <c r="B33" s="6" t="inlineStr">
        <is>
          <t>Portal 3 (PENDIENTE nombre)</t>
        </is>
      </c>
      <c r="C33" s="7" t="inlineStr">
        <is>
          <t>PENDIENTE</t>
        </is>
      </c>
      <c r="D33" s="7" t="inlineStr">
        <is>
          <t>Portal</t>
        </is>
      </c>
      <c r="E33" s="5" t="inlineStr">
        <is>
          <t>N/A</t>
        </is>
      </c>
      <c r="F33" s="5" t="inlineStr">
        <is>
          <t>N/A</t>
        </is>
      </c>
      <c r="G33" s="5" t="inlineStr">
        <is>
          <t>N/A</t>
        </is>
      </c>
      <c r="H33" s="7" t="inlineStr">
        <is>
          <t>PENDIENTE</t>
        </is>
      </c>
      <c r="I33" s="6" t="inlineStr">
        <is>
          <t>Permite teletransporte entre frentes e invocación adelantada.</t>
        </is>
      </c>
    </row>
    <row r="34" ht="22" customHeight="1">
      <c r="A34" s="2" t="n">
        <v>33</v>
      </c>
      <c r="B34" s="3" t="inlineStr">
        <is>
          <t>Portal 4 (PENDIENTE nombre)</t>
        </is>
      </c>
      <c r="C34" s="4" t="inlineStr">
        <is>
          <t>PENDIENTE</t>
        </is>
      </c>
      <c r="D34" s="4" t="inlineStr">
        <is>
          <t>Portal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N/A</t>
        </is>
      </c>
      <c r="H34" s="4" t="inlineStr">
        <is>
          <t>PENDIENTE</t>
        </is>
      </c>
      <c r="I34" s="3" t="inlineStr">
        <is>
          <t>Permite teletransporte entre frentes e invocación adelantada.</t>
        </is>
      </c>
    </row>
    <row r="35" ht="22" customHeight="1">
      <c r="A35" s="5" t="n">
        <v>34</v>
      </c>
      <c r="B35" s="6" t="inlineStr">
        <is>
          <t>Portal 5 (PENDIENTE nombre)</t>
        </is>
      </c>
      <c r="C35" s="7" t="inlineStr">
        <is>
          <t>PENDIENTE</t>
        </is>
      </c>
      <c r="D35" s="7" t="inlineStr">
        <is>
          <t>Portal</t>
        </is>
      </c>
      <c r="E35" s="5" t="inlineStr">
        <is>
          <t>N/A</t>
        </is>
      </c>
      <c r="F35" s="5" t="inlineStr">
        <is>
          <t>N/A</t>
        </is>
      </c>
      <c r="G35" s="5" t="inlineStr">
        <is>
          <t>N/A</t>
        </is>
      </c>
      <c r="H35" s="7" t="inlineStr">
        <is>
          <t>PENDIENTE</t>
        </is>
      </c>
      <c r="I35" s="6" t="inlineStr">
        <is>
          <t>Permite teletransporte entre frentes e invocación adelantada.</t>
        </is>
      </c>
    </row>
    <row r="36" ht="22" customHeight="1">
      <c r="A36" s="2" t="n">
        <v>35</v>
      </c>
      <c r="B36" s="3" t="inlineStr">
        <is>
          <t>Portal 6 (PENDIENTE nombre)</t>
        </is>
      </c>
      <c r="C36" s="4" t="inlineStr">
        <is>
          <t>PENDIENTE</t>
        </is>
      </c>
      <c r="D36" s="4" t="inlineStr">
        <is>
          <t>Portal</t>
        </is>
      </c>
      <c r="E36" s="2" t="inlineStr">
        <is>
          <t>N/A</t>
        </is>
      </c>
      <c r="F36" s="2" t="inlineStr">
        <is>
          <t>N/A</t>
        </is>
      </c>
      <c r="G36" s="2" t="inlineStr">
        <is>
          <t>N/A</t>
        </is>
      </c>
      <c r="H36" s="4" t="inlineStr">
        <is>
          <t>PENDIENTE</t>
        </is>
      </c>
      <c r="I36" s="3" t="inlineStr">
        <is>
          <t>Permite teletransporte entre frentes e invocación adelantada.</t>
        </is>
      </c>
    </row>
    <row r="37" ht="22" customHeight="1">
      <c r="A37" s="5" t="n">
        <v>36</v>
      </c>
      <c r="B37" s="6" t="inlineStr">
        <is>
          <t>Titán 1 (PENDIENTE nombre)</t>
        </is>
      </c>
      <c r="C37" s="7" t="inlineStr">
        <is>
          <t>PENDIENTE</t>
        </is>
      </c>
      <c r="D37" s="7" t="inlineStr">
        <is>
          <t>Titán</t>
        </is>
      </c>
      <c r="E37" s="5" t="inlineStr">
        <is>
          <t>PENDIENTE</t>
        </is>
      </c>
      <c r="F37" s="5" t="inlineStr">
        <is>
          <t>PENDIENTE</t>
        </is>
      </c>
      <c r="G37" s="5" t="inlineStr">
        <is>
          <t>PENDIENTE</t>
        </is>
      </c>
      <c r="H37" s="7" t="inlineStr">
        <is>
          <t>PENDIENTE</t>
        </is>
      </c>
      <c r="I37" s="6" t="inlineStr">
        <is>
          <t>PENDIENTE</t>
        </is>
      </c>
    </row>
    <row r="38" ht="22" customHeight="1">
      <c r="A38" s="2" t="n">
        <v>37</v>
      </c>
      <c r="B38" s="3" t="inlineStr">
        <is>
          <t>Titán 2 (PENDIENTE nombre)</t>
        </is>
      </c>
      <c r="C38" s="4" t="inlineStr">
        <is>
          <t>PENDIENTE</t>
        </is>
      </c>
      <c r="D38" s="4" t="inlineStr">
        <is>
          <t>Titán</t>
        </is>
      </c>
      <c r="E38" s="2" t="inlineStr">
        <is>
          <t>PENDIENTE</t>
        </is>
      </c>
      <c r="F38" s="2" t="inlineStr">
        <is>
          <t>PENDIENTE</t>
        </is>
      </c>
      <c r="G38" s="2" t="inlineStr">
        <is>
          <t>PENDIENTE</t>
        </is>
      </c>
      <c r="H38" s="4" t="inlineStr">
        <is>
          <t>PENDIENTE</t>
        </is>
      </c>
      <c r="I38" s="3" t="inlineStr">
        <is>
          <t>PENDIENTE</t>
        </is>
      </c>
    </row>
    <row r="39" ht="22" customHeight="1">
      <c r="A39" s="5" t="n">
        <v>38</v>
      </c>
      <c r="B39" s="6" t="inlineStr">
        <is>
          <t>Titán 3 (PENDIENTE nombre)</t>
        </is>
      </c>
      <c r="C39" s="7" t="inlineStr">
        <is>
          <t>PENDIENTE</t>
        </is>
      </c>
      <c r="D39" s="7" t="inlineStr">
        <is>
          <t>Titán</t>
        </is>
      </c>
      <c r="E39" s="5" t="inlineStr">
        <is>
          <t>PENDIENTE</t>
        </is>
      </c>
      <c r="F39" s="5" t="inlineStr">
        <is>
          <t>PENDIENTE</t>
        </is>
      </c>
      <c r="G39" s="5" t="inlineStr">
        <is>
          <t>PENDIENTE</t>
        </is>
      </c>
      <c r="H39" s="7" t="inlineStr">
        <is>
          <t>PENDIENTE</t>
        </is>
      </c>
      <c r="I39" s="6" t="inlineStr">
        <is>
          <t>PENDIENTE</t>
        </is>
      </c>
    </row>
    <row r="40" ht="22" customHeight="1">
      <c r="A40" s="2" t="n">
        <v>39</v>
      </c>
      <c r="B40" s="3" t="inlineStr">
        <is>
          <t>Suerte de Azar</t>
        </is>
      </c>
      <c r="C40" s="4" t="inlineStr">
        <is>
          <t>Común / Neutral</t>
        </is>
      </c>
      <c r="D40" s="4" t="inlineStr">
        <is>
          <t>Mágica</t>
        </is>
      </c>
      <c r="E40" s="2" t="inlineStr">
        <is>
          <t>N/A</t>
        </is>
      </c>
      <c r="F40" s="2" t="inlineStr">
        <is>
          <t>N/A</t>
        </is>
      </c>
      <c r="G40" s="2" t="inlineStr">
        <is>
          <t>PENDIENTE</t>
        </is>
      </c>
      <c r="H40" s="4" t="inlineStr">
        <is>
          <t>PENDIENTE</t>
        </is>
      </c>
      <c r="I40" s="3" t="inlineStr">
        <is>
          <t>PENDIENTE</t>
        </is>
      </c>
    </row>
    <row r="41" ht="22" customHeight="1">
      <c r="A41" s="5" t="n">
        <v>40</v>
      </c>
      <c r="B41" s="6" t="inlineStr">
        <is>
          <t>Tritón</t>
        </is>
      </c>
      <c r="C41" s="7" t="inlineStr">
        <is>
          <t>Griega</t>
        </is>
      </c>
      <c r="D41" s="7" t="inlineStr">
        <is>
          <t>Escualo</t>
        </is>
      </c>
      <c r="E41" s="5" t="inlineStr">
        <is>
          <t>PENDIENTE</t>
        </is>
      </c>
      <c r="F41" s="5" t="inlineStr">
        <is>
          <t>PENDIENTE</t>
        </is>
      </c>
      <c r="G41" s="5" t="inlineStr">
        <is>
          <t>PENDIENTE</t>
        </is>
      </c>
      <c r="H41" s="7" t="inlineStr">
        <is>
          <t>PENDIENTE</t>
        </is>
      </c>
      <c r="I41" s="6" t="inlineStr">
        <is>
          <t>PENDIENTE</t>
        </is>
      </c>
    </row>
    <row r="42" ht="22" customHeight="1">
      <c r="A42" s="2" t="n">
        <v>41</v>
      </c>
      <c r="B42" s="3" t="inlineStr">
        <is>
          <t>Sirena</t>
        </is>
      </c>
      <c r="C42" s="4" t="inlineStr">
        <is>
          <t>Vikinga</t>
        </is>
      </c>
      <c r="D42" s="4" t="inlineStr">
        <is>
          <t>PENDIENTE (sugerido: Personaje o Escualo)</t>
        </is>
      </c>
      <c r="E42" s="2" t="inlineStr">
        <is>
          <t>PENDIENTE</t>
        </is>
      </c>
      <c r="F42" s="2" t="inlineStr">
        <is>
          <t>PENDIENTE</t>
        </is>
      </c>
      <c r="G42" s="2" t="inlineStr">
        <is>
          <t>PENDIENTE</t>
        </is>
      </c>
      <c r="H42" s="4" t="inlineStr">
        <is>
          <t>PENDIENTE</t>
        </is>
      </c>
      <c r="I42" s="3" t="inlineStr">
        <is>
          <t>PENDIENTE</t>
        </is>
      </c>
    </row>
    <row r="43" ht="22" customHeight="1">
      <c r="A43" s="5" t="n">
        <v>42</v>
      </c>
      <c r="B43" s="6" t="inlineStr">
        <is>
          <t>El Cuerno de Hidromiel de Ægir</t>
        </is>
      </c>
      <c r="C43" s="7" t="inlineStr">
        <is>
          <t>Vikinga</t>
        </is>
      </c>
      <c r="D43" s="7" t="inlineStr">
        <is>
          <t>PENDIENTE (sugerido: Mágica o Objeto)</t>
        </is>
      </c>
      <c r="E43" s="5" t="inlineStr">
        <is>
          <t>N/A</t>
        </is>
      </c>
      <c r="F43" s="5" t="inlineStr">
        <is>
          <t>N/A</t>
        </is>
      </c>
      <c r="G43" s="5" t="inlineStr">
        <is>
          <t>PENDIENTE</t>
        </is>
      </c>
      <c r="H43" s="7" t="inlineStr">
        <is>
          <t>PENDIENTE</t>
        </is>
      </c>
      <c r="I43" s="6" t="inlineStr">
        <is>
          <t>PENDIENTE</t>
        </is>
      </c>
    </row>
    <row r="44" ht="22" customHeight="1">
      <c r="A44" s="2" t="n">
        <v>43</v>
      </c>
      <c r="B44" s="3" t="inlineStr">
        <is>
          <t>Mehalogon G.</t>
        </is>
      </c>
      <c r="C44" s="4" t="inlineStr">
        <is>
          <t>Ninguna / Neutral</t>
        </is>
      </c>
      <c r="D44" s="4" t="inlineStr">
        <is>
          <t>Animal común</t>
        </is>
      </c>
      <c r="E44" s="2" t="inlineStr">
        <is>
          <t>PENDIENTE</t>
        </is>
      </c>
      <c r="F44" s="2" t="inlineStr">
        <is>
          <t>PENDIENTE</t>
        </is>
      </c>
      <c r="G44" s="2" t="inlineStr">
        <is>
          <t>PENDIENTE</t>
        </is>
      </c>
      <c r="H44" s="4" t="inlineStr">
        <is>
          <t>PENDIENTE</t>
        </is>
      </c>
      <c r="I44" s="3" t="inlineStr">
        <is>
          <t>PENDIENTE</t>
        </is>
      </c>
    </row>
    <row r="45" ht="22" customHeight="1">
      <c r="A45" s="5" t="n">
        <v>44</v>
      </c>
      <c r="B45" s="6" t="inlineStr">
        <is>
          <t>Vikingo con Hacha</t>
        </is>
      </c>
      <c r="C45" s="7" t="inlineStr">
        <is>
          <t>Vikinga</t>
        </is>
      </c>
      <c r="D45" s="7" t="inlineStr">
        <is>
          <t>Personaje</t>
        </is>
      </c>
      <c r="E45" s="5" t="inlineStr">
        <is>
          <t>4</t>
        </is>
      </c>
      <c r="F45" s="5" t="inlineStr">
        <is>
          <t>3</t>
        </is>
      </c>
      <c r="G45" s="5" t="inlineStr">
        <is>
          <t>0 (Sin magia)</t>
        </is>
      </c>
      <c r="H45" s="7" t="inlineStr">
        <is>
          <t>PENDIENTE</t>
        </is>
      </c>
      <c r="I45" s="6" t="inlineStr">
        <is>
          <t>PENDIENTE</t>
        </is>
      </c>
    </row>
    <row r="46" ht="22" customHeight="1">
      <c r="A46" s="2" t="n">
        <v>45</v>
      </c>
      <c r="B46" s="3" t="inlineStr">
        <is>
          <t>El Faraón</t>
        </is>
      </c>
      <c r="C46" s="4" t="inlineStr">
        <is>
          <t>Egipcia</t>
        </is>
      </c>
      <c r="D46" s="4" t="inlineStr">
        <is>
          <t>Personaje</t>
        </is>
      </c>
      <c r="E46" s="2" t="inlineStr">
        <is>
          <t>3</t>
        </is>
      </c>
      <c r="F46" s="2" t="inlineStr">
        <is>
          <t>5</t>
        </is>
      </c>
      <c r="G46" s="2" t="inlineStr">
        <is>
          <t>PENDIENTE</t>
        </is>
      </c>
      <c r="H46" s="4" t="inlineStr">
        <is>
          <t>PENDIENTE</t>
        </is>
      </c>
      <c r="I46" s="3" t="inlineStr">
        <is>
          <t>Efecto de resurrección condicionada.</t>
        </is>
      </c>
    </row>
    <row r="47" ht="22" customHeight="1">
      <c r="A47" s="5" t="n">
        <v>46</v>
      </c>
      <c r="B47" s="6" t="inlineStr">
        <is>
          <t>Thor</t>
        </is>
      </c>
      <c r="C47" s="7" t="inlineStr">
        <is>
          <t>Vikinga</t>
        </is>
      </c>
      <c r="D47" s="7" t="inlineStr">
        <is>
          <t>Élite / Divinidad</t>
        </is>
      </c>
      <c r="E47" s="5" t="inlineStr">
        <is>
          <t>PENDIENTE</t>
        </is>
      </c>
      <c r="F47" s="5" t="inlineStr">
        <is>
          <t>PENDIENTE</t>
        </is>
      </c>
      <c r="G47" s="5" t="inlineStr">
        <is>
          <t>PENDIENTE</t>
        </is>
      </c>
      <c r="H47" s="7" t="inlineStr">
        <is>
          <t>Rayo</t>
        </is>
      </c>
      <c r="I47" s="6" t="inlineStr">
        <is>
          <t>Mjölnir: martillo divino aumenta el ataque. (efecto específico PENDIENTE)</t>
        </is>
      </c>
    </row>
    <row r="48" ht="22" customHeight="1">
      <c r="A48" s="2" t="n">
        <v>47</v>
      </c>
      <c r="B48" s="3" t="inlineStr">
        <is>
          <t>Garuda</t>
        </is>
      </c>
      <c r="C48" s="4" t="inlineStr">
        <is>
          <t>Hinduista</t>
        </is>
      </c>
      <c r="D48" s="4" t="inlineStr">
        <is>
          <t>Animal Mitológico</t>
        </is>
      </c>
      <c r="E48" s="2" t="inlineStr">
        <is>
          <t>PENDIENTE</t>
        </is>
      </c>
      <c r="F48" s="2" t="inlineStr">
        <is>
          <t>PENDIENTE</t>
        </is>
      </c>
      <c r="G48" s="2" t="inlineStr">
        <is>
          <t>PENDIENTE</t>
        </is>
      </c>
      <c r="H48" s="4" t="inlineStr">
        <is>
          <t>Rayo</t>
        </is>
      </c>
      <c r="I48" s="3" t="inlineStr">
        <is>
          <t>Tormenta de alas: crea tormentas al batir alas doradas. Enemigo natural de serpientes (Kaliya).</t>
        </is>
      </c>
    </row>
    <row r="49" ht="22" customHeight="1">
      <c r="A49" s="5" t="n">
        <v>48</v>
      </c>
      <c r="B49" s="6" t="inlineStr">
        <is>
          <t>Bennu</t>
        </is>
      </c>
      <c r="C49" s="7" t="inlineStr">
        <is>
          <t>Egipcia</t>
        </is>
      </c>
      <c r="D49" s="7" t="inlineStr">
        <is>
          <t>Animal Mitológico</t>
        </is>
      </c>
      <c r="E49" s="5" t="inlineStr">
        <is>
          <t>PENDIENTE</t>
        </is>
      </c>
      <c r="F49" s="5" t="inlineStr">
        <is>
          <t>PENDIENTE</t>
        </is>
      </c>
      <c r="G49" s="5" t="inlineStr">
        <is>
          <t>PENDIENTE</t>
        </is>
      </c>
      <c r="H49" s="7" t="inlineStr">
        <is>
          <t>Rayo</t>
        </is>
      </c>
      <c r="I49" s="6" t="inlineStr">
        <is>
          <t>Fénix egipcio. (efecto PENDIENTE: renacimiento/rayo solar)</t>
        </is>
      </c>
    </row>
    <row r="50" ht="22" customHeight="1">
      <c r="A50" s="2" t="n">
        <v>49</v>
      </c>
      <c r="B50" s="3" t="inlineStr">
        <is>
          <t>Quimera</t>
        </is>
      </c>
      <c r="C50" s="4" t="inlineStr">
        <is>
          <t>Griega</t>
        </is>
      </c>
      <c r="D50" s="4" t="inlineStr">
        <is>
          <t>Animal Mitológico</t>
        </is>
      </c>
      <c r="E50" s="2" t="inlineStr">
        <is>
          <t>PENDIENTE</t>
        </is>
      </c>
      <c r="F50" s="2" t="inlineStr">
        <is>
          <t>PENDIENTE</t>
        </is>
      </c>
      <c r="G50" s="2" t="inlineStr">
        <is>
          <t>PENDIENTE</t>
        </is>
      </c>
      <c r="H50" s="4" t="inlineStr">
        <is>
          <t>Fuego + Tierra</t>
        </is>
      </c>
      <c r="I50" s="3" t="inlineStr">
        <is>
          <t>León con cabeza de cabra y cola de serpiente. (efecto PENDIENTE)</t>
        </is>
      </c>
    </row>
    <row r="51" ht="22" customHeight="1">
      <c r="A51" s="5" t="n">
        <v>50</v>
      </c>
      <c r="B51" s="6" t="inlineStr">
        <is>
          <t>Crono</t>
        </is>
      </c>
      <c r="C51" s="7" t="inlineStr">
        <is>
          <t>Griega</t>
        </is>
      </c>
      <c r="D51" s="7" t="inlineStr">
        <is>
          <t>Mágica</t>
        </is>
      </c>
      <c r="E51" s="5" t="inlineStr">
        <is>
          <t>N/A</t>
        </is>
      </c>
      <c r="F51" s="5" t="inlineStr">
        <is>
          <t>N/A</t>
        </is>
      </c>
      <c r="G51" s="5" t="inlineStr">
        <is>
          <t>PENDIENTE</t>
        </is>
      </c>
      <c r="H51" s="7" t="inlineStr">
        <is>
          <t>—</t>
        </is>
      </c>
      <c r="I51" s="6" t="inlineStr">
        <is>
          <t>Control del tiempo: mueve el tiempo. (idea PENDIENTE) Solo griegos nivel II+</t>
        </is>
      </c>
    </row>
    <row r="52" ht="22" customHeight="1">
      <c r="A52" s="2" t="n">
        <v>51</v>
      </c>
      <c r="B52" s="3" t="inlineStr">
        <is>
          <t>Atlas</t>
        </is>
      </c>
      <c r="C52" s="4" t="inlineStr">
        <is>
          <t>Griega</t>
        </is>
      </c>
      <c r="D52" s="4" t="inlineStr">
        <is>
          <t>Titán</t>
        </is>
      </c>
      <c r="E52" s="2" t="inlineStr">
        <is>
          <t>PENDIENTE</t>
        </is>
      </c>
      <c r="F52" s="2" t="inlineStr">
        <is>
          <t>PENDIENTE</t>
        </is>
      </c>
      <c r="G52" s="2" t="inlineStr">
        <is>
          <t>PENDIENTE</t>
        </is>
      </c>
      <c r="H52" s="4" t="inlineStr">
        <is>
          <t>(Tierra sugerido)</t>
        </is>
      </c>
      <c r="I52" s="3" t="inlineStr">
        <is>
          <t>Sostén celeste: protege aliados en su frente. Mayor esquiva del juego.</t>
        </is>
      </c>
    </row>
    <row r="53" ht="22" customHeight="1">
      <c r="A53" s="5" t="n">
        <v>52</v>
      </c>
      <c r="B53" s="6" t="inlineStr">
        <is>
          <t>Gea</t>
        </is>
      </c>
      <c r="C53" s="7" t="inlineStr">
        <is>
          <t>Griega</t>
        </is>
      </c>
      <c r="D53" s="7" t="inlineStr">
        <is>
          <t>Titán</t>
        </is>
      </c>
      <c r="E53" s="5" t="inlineStr">
        <is>
          <t>PENDIENTE</t>
        </is>
      </c>
      <c r="F53" s="5" t="inlineStr">
        <is>
          <t>PENDIENTE</t>
        </is>
      </c>
      <c r="G53" s="5" t="inlineStr">
        <is>
          <t>PENDIENTE</t>
        </is>
      </c>
      <c r="H53" s="7" t="inlineStr">
        <is>
          <t>Tierra</t>
        </is>
      </c>
      <c r="I53" s="6" t="inlineStr">
        <is>
          <t>Diosa primordial de la Tierra. (efecto PENDIENTE: fertilidad/protección/profecía)</t>
        </is>
      </c>
    </row>
    <row r="54" ht="22" customHeight="1">
      <c r="A54" s="2" t="n">
        <v>53</v>
      </c>
      <c r="B54" s="3" t="inlineStr">
        <is>
          <t>Apofis</t>
        </is>
      </c>
      <c r="C54" s="4" t="inlineStr">
        <is>
          <t>Egipcia</t>
        </is>
      </c>
      <c r="D54" s="4" t="inlineStr">
        <is>
          <t>Titán</t>
        </is>
      </c>
      <c r="E54" s="2" t="inlineStr">
        <is>
          <t>PENDIENTE</t>
        </is>
      </c>
      <c r="F54" s="2" t="inlineStr">
        <is>
          <t>PENDIENTE</t>
        </is>
      </c>
      <c r="G54" s="2" t="inlineStr">
        <is>
          <t>PENDIENTE</t>
        </is>
      </c>
      <c r="H54" s="4" t="inlineStr">
        <is>
          <t>(Agua/Oscuridad)</t>
        </is>
      </c>
      <c r="I54" s="3" t="inlineStr">
        <is>
          <t>Fauces del Vacío: al final de cada turno, ambos jugadores sacrifican una carta/recurso.</t>
        </is>
      </c>
    </row>
    <row r="55" ht="22" customHeight="1">
      <c r="A55" s="5" t="n">
        <v>54</v>
      </c>
      <c r="B55" s="6" t="inlineStr">
        <is>
          <t>Teseo</t>
        </is>
      </c>
      <c r="C55" s="7" t="inlineStr">
        <is>
          <t>Griega</t>
        </is>
      </c>
      <c r="D55" s="7" t="inlineStr">
        <is>
          <t>Mágica</t>
        </is>
      </c>
      <c r="E55" s="5" t="inlineStr">
        <is>
          <t>N/A</t>
        </is>
      </c>
      <c r="F55" s="5" t="inlineStr">
        <is>
          <t>N/A</t>
        </is>
      </c>
      <c r="G55" s="5" t="inlineStr">
        <is>
          <t>PENDIENTE</t>
        </is>
      </c>
      <c r="H55" s="7" t="inlineStr">
        <is>
          <t>—</t>
        </is>
      </c>
      <c r="I55" s="6" t="inlineStr">
        <is>
          <t>Laberinto del destino: manda al cementerio las 3 primeras cartas del mazo rival. Ambos ven cuáles son.</t>
        </is>
      </c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14" customWidth="1" min="3" max="3"/>
  </cols>
  <sheetData>
    <row r="2">
      <c r="B2" s="8" t="inlineStr">
        <is>
          <t>Resumen Ejecutivo - MitoLogos</t>
        </is>
      </c>
    </row>
    <row r="4">
      <c r="B4" s="9" t="inlineStr">
        <is>
          <t>Civilización</t>
        </is>
      </c>
      <c r="C4" s="10" t="inlineStr">
        <is>
          <t>Total Cartas</t>
        </is>
      </c>
    </row>
    <row r="5">
      <c r="B5" s="11" t="inlineStr">
        <is>
          <t>Griega</t>
        </is>
      </c>
      <c r="C5" s="12">
        <f>COUNTIF('Listado de Cartas'!C2:C100, "Griega")</f>
        <v/>
      </c>
    </row>
    <row r="6">
      <c r="B6" s="11" t="inlineStr">
        <is>
          <t>Vikinga</t>
        </is>
      </c>
      <c r="C6" s="12">
        <f>COUNTIF('Listado de Cartas'!C2:C100, "Vikinga")</f>
        <v/>
      </c>
    </row>
    <row r="7">
      <c r="B7" s="11" t="inlineStr">
        <is>
          <t>Egipcia</t>
        </is>
      </c>
      <c r="C7" s="12">
        <f>COUNTIF('Listado de Cartas'!C2:C100, "Egipcia")</f>
        <v/>
      </c>
    </row>
    <row r="8">
      <c r="B8" s="11" t="inlineStr">
        <is>
          <t>Hinduista</t>
        </is>
      </c>
      <c r="C8" s="12">
        <f>COUNTIF('Listado de Cartas'!C2:C100, "Hinduista")</f>
        <v/>
      </c>
    </row>
    <row r="9">
      <c r="B9" s="11" t="inlineStr">
        <is>
          <t>Ninguna / Neutral</t>
        </is>
      </c>
      <c r="C9" s="12">
        <f>COUNTIF('Listado de Cartas'!C2:C100, "Ninguna / Neutral")</f>
        <v/>
      </c>
    </row>
    <row r="10">
      <c r="B10" s="11" t="inlineStr">
        <is>
          <t>Común / Neutral</t>
        </is>
      </c>
      <c r="C10" s="12">
        <f>COUNTIF('Listado de Cartas'!C2:C100, "Común / Neutral")</f>
        <v/>
      </c>
    </row>
    <row r="11">
      <c r="B11" s="11" t="inlineStr">
        <is>
          <t>PENDIENTE</t>
        </is>
      </c>
      <c r="C11" s="12">
        <f>COUNTIF('Listado de Cartas'!C2:C100, "PENDIENTE")</f>
        <v/>
      </c>
    </row>
    <row r="12">
      <c r="B12" s="13" t="inlineStr">
        <is>
          <t>Total</t>
        </is>
      </c>
      <c r="C12" s="14">
        <f>SUM(C5:C11)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2026-07-08T14:24:02Z</dcterms:created>
  <dcterms:modified xmlns:dcterms="http://purl.org/dc/terms/" xmlns:xsi="http://www.w3.org/2001/XMLSchema-instance" xsi:type="dcterms:W3CDTF">2026-07-08T14:24:03Z</dcterms:modified>
</cp:coreProperties>
</file>